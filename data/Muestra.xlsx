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artellez/Encuesta_zacatlán/data/"/>
    </mc:Choice>
  </mc:AlternateContent>
  <xr:revisionPtr revIDLastSave="0" documentId="8_{7CFC06C3-8121-FE4D-B642-D5196FB88803}" xr6:coauthVersionLast="47" xr6:coauthVersionMax="47" xr10:uidLastSave="{00000000-0000-0000-0000-000000000000}"/>
  <bookViews>
    <workbookView xWindow="2260" yWindow="740" windowWidth="24240" windowHeight="13500" activeTab="4" xr2:uid="{147FD263-E9E6-0A4B-9123-89A12C14103E}"/>
  </bookViews>
  <sheets>
    <sheet name="Lista Nominal" sheetId="2" r:id="rId1"/>
    <sheet name="Estrato Urbano" sheetId="4" r:id="rId2"/>
    <sheet name="Estrato Rural" sheetId="5" r:id="rId3"/>
    <sheet name="Estrato Mixto" sheetId="6" r:id="rId4"/>
    <sheet name="Selección" sheetId="8" r:id="rId5"/>
    <sheet name="Hoja9" sheetId="9" r:id="rId6"/>
  </sheets>
  <definedNames>
    <definedName name="_xlnm._FilterDatabase" localSheetId="3" hidden="1">'Estrato Mixto'!$A$1:$G$34</definedName>
    <definedName name="_xlnm._FilterDatabase" localSheetId="2" hidden="1">'Estrato Rural'!$A$1:$K$23</definedName>
    <definedName name="_xlnm._FilterDatabase" localSheetId="1" hidden="1">'Estrato Urbano'!$A$1:$K$11</definedName>
    <definedName name="_xlnm._FilterDatabase" localSheetId="0" hidden="1">'Lista Nominal'!$A$1:$H$66</definedName>
    <definedName name="_xlnm._FilterDatabase" localSheetId="4" hidden="1">Selección!$A$1:$M$1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1" i="9" l="1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" i="9"/>
  <c r="G21" i="9"/>
  <c r="J4" i="8"/>
  <c r="J5" i="8"/>
  <c r="J18" i="8"/>
  <c r="J7" i="8"/>
  <c r="J8" i="8"/>
  <c r="J9" i="8"/>
  <c r="J11" i="8"/>
  <c r="J12" i="8"/>
  <c r="J14" i="8"/>
  <c r="J16" i="8"/>
  <c r="J17" i="8"/>
  <c r="J19" i="8"/>
  <c r="J13" i="8"/>
  <c r="J2" i="8"/>
  <c r="J21" i="8" s="1"/>
  <c r="I3" i="8"/>
  <c r="J3" i="8" s="1"/>
  <c r="I4" i="8"/>
  <c r="I5" i="8"/>
  <c r="I18" i="8"/>
  <c r="I6" i="8"/>
  <c r="J6" i="8" s="1"/>
  <c r="I7" i="8"/>
  <c r="I8" i="8"/>
  <c r="I9" i="8"/>
  <c r="I10" i="8"/>
  <c r="J10" i="8" s="1"/>
  <c r="I11" i="8"/>
  <c r="I12" i="8"/>
  <c r="I14" i="8"/>
  <c r="I15" i="8"/>
  <c r="J15" i="8" s="1"/>
  <c r="I16" i="8"/>
  <c r="I17" i="8"/>
  <c r="I19" i="8"/>
  <c r="I20" i="8"/>
  <c r="J20" i="8" s="1"/>
  <c r="I13" i="8"/>
  <c r="I2" i="8"/>
  <c r="I21" i="8" s="1"/>
  <c r="M6" i="8"/>
  <c r="M4" i="8"/>
  <c r="K4" i="5"/>
  <c r="G2" i="5"/>
  <c r="G3" i="5" s="1"/>
  <c r="G4" i="5" s="1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K3" i="5" s="1"/>
  <c r="L6" i="2"/>
  <c r="L4" i="2"/>
  <c r="L5" i="2"/>
  <c r="L3" i="2"/>
  <c r="K4" i="4" s="1"/>
  <c r="G2" i="4"/>
  <c r="G3" i="4" s="1"/>
  <c r="G4" i="4" s="1"/>
  <c r="G5" i="4" s="1"/>
  <c r="G6" i="4" s="1"/>
  <c r="G7" i="4" s="1"/>
  <c r="G8" i="4" s="1"/>
  <c r="G9" i="4" s="1"/>
  <c r="G10" i="4" s="1"/>
  <c r="G11" i="4" s="1"/>
  <c r="K3" i="4" s="1"/>
  <c r="K2" i="4" s="1"/>
  <c r="K7" i="4" s="1"/>
  <c r="K8" i="4" s="1"/>
  <c r="K9" i="4" s="1"/>
  <c r="K10" i="4" s="1"/>
  <c r="K5" i="2"/>
  <c r="K4" i="2"/>
  <c r="K3" i="2"/>
  <c r="H2" i="2"/>
  <c r="H3" i="2" s="1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K2" i="5" l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6" i="2"/>
</calcChain>
</file>

<file path=xl/sharedStrings.xml><?xml version="1.0" encoding="utf-8"?>
<sst xmlns="http://schemas.openxmlformats.org/spreadsheetml/2006/main" count="188" uniqueCount="50">
  <si>
    <t>CLAVE
ENTIDAD</t>
  </si>
  <si>
    <t>CLAVE
DISTRITO</t>
  </si>
  <si>
    <t>CLAVE
MUNICIPIO</t>
  </si>
  <si>
    <t>SECCION</t>
  </si>
  <si>
    <t>urbana</t>
  </si>
  <si>
    <t>rural</t>
  </si>
  <si>
    <t>mixta</t>
  </si>
  <si>
    <t>Tipo</t>
  </si>
  <si>
    <t>Lista_Nom</t>
  </si>
  <si>
    <t>LN Acumulada</t>
  </si>
  <si>
    <t>estrato urbano</t>
  </si>
  <si>
    <t>estrato rural</t>
  </si>
  <si>
    <t>estrato mixto</t>
  </si>
  <si>
    <t>Número secciones</t>
  </si>
  <si>
    <t>Total</t>
  </si>
  <si>
    <t>numero</t>
  </si>
  <si>
    <t>intervalo</t>
  </si>
  <si>
    <t>Total LN estrato</t>
  </si>
  <si>
    <t>Número secciones a seleccionar</t>
  </si>
  <si>
    <t>Raiz aleatoria</t>
  </si>
  <si>
    <t>Punto 1</t>
  </si>
  <si>
    <t>Punto 2</t>
  </si>
  <si>
    <t>Punto 3</t>
  </si>
  <si>
    <t>Punto 4</t>
  </si>
  <si>
    <t>Punto 5</t>
  </si>
  <si>
    <t>Muestra</t>
  </si>
  <si>
    <t>Punto 6</t>
  </si>
  <si>
    <t>Punto 7</t>
  </si>
  <si>
    <t>Punto 8</t>
  </si>
  <si>
    <t>Punto 9</t>
  </si>
  <si>
    <t>Punto 10</t>
  </si>
  <si>
    <t>Punto 11</t>
  </si>
  <si>
    <t>Punto 12</t>
  </si>
  <si>
    <t>Punto 13</t>
  </si>
  <si>
    <t>Punto 14</t>
  </si>
  <si>
    <t>Selección</t>
  </si>
  <si>
    <t>Encuestas</t>
  </si>
  <si>
    <t>Clave estado</t>
  </si>
  <si>
    <t>Número de puntos</t>
  </si>
  <si>
    <t>Encuestas por punto</t>
  </si>
  <si>
    <t>Número de encuestadores</t>
  </si>
  <si>
    <t>Encuestas por brigadista</t>
  </si>
  <si>
    <t>Veces en Muestra</t>
  </si>
  <si>
    <t>Probabilidad efectiva</t>
  </si>
  <si>
    <t xml:space="preserve">Peso </t>
  </si>
  <si>
    <t>Sección</t>
  </si>
  <si>
    <t>LN</t>
  </si>
  <si>
    <t>Veces</t>
  </si>
  <si>
    <t>Prob. efectiva</t>
  </si>
  <si>
    <t>Peso aproximado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</si>
</sst>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"/>
    <numFmt numFmtId="172" formatCode="0.0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entury Gothic"/>
      <family val="2"/>
    </font>
    <font>
      <sz val="9"/>
      <color theme="1"/>
      <name val="Century Gothic"/>
      <family val="2"/>
    </font>
    <font>
      <sz val="8"/>
      <name val="Calibri"/>
      <family val="2"/>
      <scheme val="minor"/>
    </font>
    <font>
      <b/>
      <sz val="9"/>
      <color theme="1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rgb="FFCCC0DA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/>
    </xf>
    <xf numFmtId="17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168" fontId="3" fillId="0" borderId="4" xfId="0" applyNumberFormat="1" applyFont="1" applyBorder="1" applyAlignment="1">
      <alignment horizontal="center"/>
    </xf>
    <xf numFmtId="172" fontId="3" fillId="0" borderId="4" xfId="0" applyNumberFormat="1" applyFont="1" applyBorder="1" applyAlignment="1">
      <alignment horizontal="center"/>
    </xf>
    <xf numFmtId="0" fontId="1" fillId="0" borderId="0" xfId="0" applyFont="1"/>
    <xf numFmtId="168" fontId="5" fillId="0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4B48-FD1C-4949-9A08-83ABD6EF53DC}">
  <dimension ref="A1:L34"/>
  <sheetViews>
    <sheetView zoomScale="99" workbookViewId="0">
      <selection activeCell="M11" sqref="M11"/>
    </sheetView>
  </sheetViews>
  <sheetFormatPr baseColWidth="10" defaultRowHeight="16" x14ac:dyDescent="0.2"/>
  <cols>
    <col min="4" max="4" width="6.6640625" customWidth="1"/>
    <col min="10" max="10" width="18.83203125" customWidth="1"/>
    <col min="12" max="12" width="7.83203125" customWidth="1"/>
  </cols>
  <sheetData>
    <row r="1" spans="1:12" ht="26" x14ac:dyDescent="0.2">
      <c r="A1" s="4" t="s">
        <v>0</v>
      </c>
      <c r="B1" s="1" t="s">
        <v>1</v>
      </c>
      <c r="C1" s="1" t="s">
        <v>2</v>
      </c>
      <c r="D1" s="1" t="s">
        <v>15</v>
      </c>
      <c r="E1" s="1" t="s">
        <v>3</v>
      </c>
      <c r="F1" s="1" t="s">
        <v>7</v>
      </c>
      <c r="G1" s="1" t="s">
        <v>8</v>
      </c>
      <c r="H1" s="5" t="s">
        <v>9</v>
      </c>
    </row>
    <row r="2" spans="1:12" x14ac:dyDescent="0.2">
      <c r="A2" s="2">
        <v>21</v>
      </c>
      <c r="B2" s="3">
        <v>2</v>
      </c>
      <c r="C2" s="3">
        <v>208</v>
      </c>
      <c r="D2" s="3">
        <v>1</v>
      </c>
      <c r="E2" s="3">
        <v>2460</v>
      </c>
      <c r="F2" s="3" t="s">
        <v>4</v>
      </c>
      <c r="G2" s="3">
        <v>1870</v>
      </c>
      <c r="H2" s="3">
        <f>+G2</f>
        <v>1870</v>
      </c>
      <c r="J2" t="s">
        <v>13</v>
      </c>
      <c r="K2">
        <v>22</v>
      </c>
    </row>
    <row r="3" spans="1:12" x14ac:dyDescent="0.2">
      <c r="A3" s="2">
        <v>21</v>
      </c>
      <c r="B3" s="3">
        <v>2</v>
      </c>
      <c r="C3" s="3">
        <v>208</v>
      </c>
      <c r="D3" s="3">
        <v>2</v>
      </c>
      <c r="E3" s="3">
        <v>2461</v>
      </c>
      <c r="F3" s="3" t="s">
        <v>4</v>
      </c>
      <c r="G3" s="3">
        <v>1674</v>
      </c>
      <c r="H3" s="3">
        <f>+G3+H2</f>
        <v>3544</v>
      </c>
      <c r="J3" t="s">
        <v>10</v>
      </c>
      <c r="K3">
        <f>+SUM(G2:G10,G30)</f>
        <v>15624</v>
      </c>
      <c r="L3" s="8">
        <f>ROUND(+$K$2*(K3/$K$6),0)</f>
        <v>5</v>
      </c>
    </row>
    <row r="4" spans="1:12" x14ac:dyDescent="0.2">
      <c r="A4" s="2">
        <v>21</v>
      </c>
      <c r="B4" s="3">
        <v>2</v>
      </c>
      <c r="C4" s="3">
        <v>208</v>
      </c>
      <c r="D4" s="3">
        <v>3</v>
      </c>
      <c r="E4" s="3">
        <v>2462</v>
      </c>
      <c r="F4" s="3" t="s">
        <v>4</v>
      </c>
      <c r="G4" s="3">
        <v>1646</v>
      </c>
      <c r="H4" s="3">
        <f t="shared" ref="H4:H34" si="0">+G4+H3</f>
        <v>5190</v>
      </c>
      <c r="J4" t="s">
        <v>11</v>
      </c>
      <c r="K4">
        <f>+SUM(G11:G20,G22:G29,G31:G34)</f>
        <v>45591</v>
      </c>
      <c r="L4" s="8">
        <f>ROUND(+$K$2*(K4/$K$6),0)</f>
        <v>15</v>
      </c>
    </row>
    <row r="5" spans="1:12" x14ac:dyDescent="0.2">
      <c r="A5" s="2">
        <v>21</v>
      </c>
      <c r="B5" s="3">
        <v>2</v>
      </c>
      <c r="C5" s="3">
        <v>208</v>
      </c>
      <c r="D5" s="3">
        <v>4</v>
      </c>
      <c r="E5" s="3">
        <v>2463</v>
      </c>
      <c r="F5" s="3" t="s">
        <v>4</v>
      </c>
      <c r="G5" s="3">
        <v>1694</v>
      </c>
      <c r="H5" s="3">
        <f t="shared" si="0"/>
        <v>6884</v>
      </c>
      <c r="J5" t="s">
        <v>12</v>
      </c>
      <c r="K5">
        <f>+G21</f>
        <v>5309</v>
      </c>
      <c r="L5" s="8">
        <f>ROUND(+$K$2*(K5/$K$6),0)</f>
        <v>2</v>
      </c>
    </row>
    <row r="6" spans="1:12" x14ac:dyDescent="0.2">
      <c r="A6" s="2">
        <v>21</v>
      </c>
      <c r="B6" s="3">
        <v>2</v>
      </c>
      <c r="C6" s="3">
        <v>208</v>
      </c>
      <c r="D6" s="3">
        <v>5</v>
      </c>
      <c r="E6" s="3">
        <v>2464</v>
      </c>
      <c r="F6" s="3" t="s">
        <v>4</v>
      </c>
      <c r="G6" s="3">
        <v>621</v>
      </c>
      <c r="H6" s="3">
        <f t="shared" si="0"/>
        <v>7505</v>
      </c>
      <c r="J6" t="s">
        <v>14</v>
      </c>
      <c r="K6">
        <f>SUM(K3:K5)</f>
        <v>66524</v>
      </c>
      <c r="L6" s="8">
        <f>ROUND(+$K$2*(K6/$K$6),0)</f>
        <v>22</v>
      </c>
    </row>
    <row r="7" spans="1:12" x14ac:dyDescent="0.2">
      <c r="A7" s="2">
        <v>21</v>
      </c>
      <c r="B7" s="3">
        <v>2</v>
      </c>
      <c r="C7" s="3">
        <v>208</v>
      </c>
      <c r="D7" s="3">
        <v>6</v>
      </c>
      <c r="E7" s="3">
        <v>2465</v>
      </c>
      <c r="F7" s="3" t="s">
        <v>4</v>
      </c>
      <c r="G7" s="3">
        <v>2185</v>
      </c>
      <c r="H7" s="3">
        <f t="shared" si="0"/>
        <v>9690</v>
      </c>
    </row>
    <row r="8" spans="1:12" x14ac:dyDescent="0.2">
      <c r="A8" s="2">
        <v>21</v>
      </c>
      <c r="B8" s="3">
        <v>2</v>
      </c>
      <c r="C8" s="3">
        <v>208</v>
      </c>
      <c r="D8" s="3">
        <v>7</v>
      </c>
      <c r="E8" s="3">
        <v>2466</v>
      </c>
      <c r="F8" s="3" t="s">
        <v>4</v>
      </c>
      <c r="G8" s="3">
        <v>1291</v>
      </c>
      <c r="H8" s="3">
        <f t="shared" si="0"/>
        <v>10981</v>
      </c>
    </row>
    <row r="9" spans="1:12" x14ac:dyDescent="0.2">
      <c r="A9" s="2">
        <v>21</v>
      </c>
      <c r="B9" s="3">
        <v>2</v>
      </c>
      <c r="C9" s="3">
        <v>208</v>
      </c>
      <c r="D9" s="3">
        <v>8</v>
      </c>
      <c r="E9" s="3">
        <v>2467</v>
      </c>
      <c r="F9" s="3" t="s">
        <v>4</v>
      </c>
      <c r="G9" s="3">
        <v>1367</v>
      </c>
      <c r="H9" s="3">
        <f t="shared" si="0"/>
        <v>12348</v>
      </c>
    </row>
    <row r="10" spans="1:12" x14ac:dyDescent="0.2">
      <c r="A10" s="2">
        <v>21</v>
      </c>
      <c r="B10" s="3">
        <v>2</v>
      </c>
      <c r="C10" s="3">
        <v>208</v>
      </c>
      <c r="D10" s="3">
        <v>9</v>
      </c>
      <c r="E10" s="3">
        <v>2469</v>
      </c>
      <c r="F10" s="3" t="s">
        <v>4</v>
      </c>
      <c r="G10" s="3">
        <v>894</v>
      </c>
      <c r="H10" s="3">
        <f t="shared" si="0"/>
        <v>13242</v>
      </c>
    </row>
    <row r="11" spans="1:12" x14ac:dyDescent="0.2">
      <c r="A11" s="2">
        <v>21</v>
      </c>
      <c r="B11" s="3">
        <v>2</v>
      </c>
      <c r="C11" s="3">
        <v>208</v>
      </c>
      <c r="D11" s="3">
        <v>10</v>
      </c>
      <c r="E11" s="3">
        <v>2470</v>
      </c>
      <c r="F11" s="3" t="s">
        <v>5</v>
      </c>
      <c r="G11" s="3">
        <v>2060</v>
      </c>
      <c r="H11" s="3">
        <f t="shared" si="0"/>
        <v>15302</v>
      </c>
    </row>
    <row r="12" spans="1:12" x14ac:dyDescent="0.2">
      <c r="A12" s="2">
        <v>21</v>
      </c>
      <c r="B12" s="3">
        <v>2</v>
      </c>
      <c r="C12" s="3">
        <v>208</v>
      </c>
      <c r="D12" s="3">
        <v>11</v>
      </c>
      <c r="E12" s="3">
        <v>2471</v>
      </c>
      <c r="F12" s="3" t="s">
        <v>5</v>
      </c>
      <c r="G12" s="3">
        <v>2234</v>
      </c>
      <c r="H12" s="3">
        <f t="shared" si="0"/>
        <v>17536</v>
      </c>
    </row>
    <row r="13" spans="1:12" x14ac:dyDescent="0.2">
      <c r="A13" s="2">
        <v>21</v>
      </c>
      <c r="B13" s="3">
        <v>2</v>
      </c>
      <c r="C13" s="3">
        <v>208</v>
      </c>
      <c r="D13" s="3">
        <v>12</v>
      </c>
      <c r="E13" s="3">
        <v>2472</v>
      </c>
      <c r="F13" s="3" t="s">
        <v>5</v>
      </c>
      <c r="G13" s="3">
        <v>2901</v>
      </c>
      <c r="H13" s="3">
        <f t="shared" si="0"/>
        <v>20437</v>
      </c>
    </row>
    <row r="14" spans="1:12" x14ac:dyDescent="0.2">
      <c r="A14" s="2">
        <v>21</v>
      </c>
      <c r="B14" s="3">
        <v>2</v>
      </c>
      <c r="C14" s="3">
        <v>208</v>
      </c>
      <c r="D14" s="3">
        <v>13</v>
      </c>
      <c r="E14" s="3">
        <v>2473</v>
      </c>
      <c r="F14" s="3" t="s">
        <v>5</v>
      </c>
      <c r="G14" s="3">
        <v>2202</v>
      </c>
      <c r="H14" s="3">
        <f t="shared" si="0"/>
        <v>22639</v>
      </c>
    </row>
    <row r="15" spans="1:12" x14ac:dyDescent="0.2">
      <c r="A15" s="2">
        <v>21</v>
      </c>
      <c r="B15" s="3">
        <v>2</v>
      </c>
      <c r="C15" s="3">
        <v>208</v>
      </c>
      <c r="D15" s="3">
        <v>14</v>
      </c>
      <c r="E15" s="3">
        <v>2474</v>
      </c>
      <c r="F15" s="3" t="s">
        <v>5</v>
      </c>
      <c r="G15" s="3">
        <v>1836</v>
      </c>
      <c r="H15" s="3">
        <f t="shared" si="0"/>
        <v>24475</v>
      </c>
    </row>
    <row r="16" spans="1:12" x14ac:dyDescent="0.2">
      <c r="A16" s="2">
        <v>21</v>
      </c>
      <c r="B16" s="3">
        <v>2</v>
      </c>
      <c r="C16" s="3">
        <v>208</v>
      </c>
      <c r="D16" s="3">
        <v>15</v>
      </c>
      <c r="E16" s="3">
        <v>2475</v>
      </c>
      <c r="F16" s="3" t="s">
        <v>5</v>
      </c>
      <c r="G16" s="3">
        <v>2141</v>
      </c>
      <c r="H16" s="3">
        <f t="shared" si="0"/>
        <v>26616</v>
      </c>
    </row>
    <row r="17" spans="1:8" x14ac:dyDescent="0.2">
      <c r="A17" s="2">
        <v>21</v>
      </c>
      <c r="B17" s="3">
        <v>2</v>
      </c>
      <c r="C17" s="3">
        <v>208</v>
      </c>
      <c r="D17" s="3">
        <v>16</v>
      </c>
      <c r="E17" s="3">
        <v>2476</v>
      </c>
      <c r="F17" s="3" t="s">
        <v>5</v>
      </c>
      <c r="G17" s="3">
        <v>1256</v>
      </c>
      <c r="H17" s="3">
        <f t="shared" si="0"/>
        <v>27872</v>
      </c>
    </row>
    <row r="18" spans="1:8" x14ac:dyDescent="0.2">
      <c r="A18" s="2">
        <v>21</v>
      </c>
      <c r="B18" s="3">
        <v>2</v>
      </c>
      <c r="C18" s="3">
        <v>208</v>
      </c>
      <c r="D18" s="3">
        <v>17</v>
      </c>
      <c r="E18" s="3">
        <v>2477</v>
      </c>
      <c r="F18" s="3" t="s">
        <v>5</v>
      </c>
      <c r="G18" s="3">
        <v>1050</v>
      </c>
      <c r="H18" s="3">
        <f t="shared" si="0"/>
        <v>28922</v>
      </c>
    </row>
    <row r="19" spans="1:8" x14ac:dyDescent="0.2">
      <c r="A19" s="2">
        <v>21</v>
      </c>
      <c r="B19" s="3">
        <v>2</v>
      </c>
      <c r="C19" s="3">
        <v>208</v>
      </c>
      <c r="D19" s="3">
        <v>18</v>
      </c>
      <c r="E19" s="3">
        <v>2478</v>
      </c>
      <c r="F19" s="3" t="s">
        <v>5</v>
      </c>
      <c r="G19" s="3">
        <v>4152</v>
      </c>
      <c r="H19" s="3">
        <f t="shared" si="0"/>
        <v>33074</v>
      </c>
    </row>
    <row r="20" spans="1:8" x14ac:dyDescent="0.2">
      <c r="A20" s="2">
        <v>21</v>
      </c>
      <c r="B20" s="3">
        <v>2</v>
      </c>
      <c r="C20" s="3">
        <v>208</v>
      </c>
      <c r="D20" s="3">
        <v>19</v>
      </c>
      <c r="E20" s="3">
        <v>2480</v>
      </c>
      <c r="F20" s="3" t="s">
        <v>5</v>
      </c>
      <c r="G20" s="3">
        <v>4614</v>
      </c>
      <c r="H20" s="3">
        <f t="shared" si="0"/>
        <v>37688</v>
      </c>
    </row>
    <row r="21" spans="1:8" x14ac:dyDescent="0.2">
      <c r="A21" s="2">
        <v>21</v>
      </c>
      <c r="B21" s="3">
        <v>2</v>
      </c>
      <c r="C21" s="3">
        <v>208</v>
      </c>
      <c r="D21" s="3">
        <v>20</v>
      </c>
      <c r="E21" s="3">
        <v>2481</v>
      </c>
      <c r="F21" s="3" t="s">
        <v>6</v>
      </c>
      <c r="G21" s="3">
        <v>5309</v>
      </c>
      <c r="H21" s="3">
        <f t="shared" si="0"/>
        <v>42997</v>
      </c>
    </row>
    <row r="22" spans="1:8" x14ac:dyDescent="0.2">
      <c r="A22" s="2">
        <v>21</v>
      </c>
      <c r="B22" s="3">
        <v>2</v>
      </c>
      <c r="C22" s="3">
        <v>208</v>
      </c>
      <c r="D22" s="3">
        <v>21</v>
      </c>
      <c r="E22" s="3">
        <v>2482</v>
      </c>
      <c r="F22" s="3" t="s">
        <v>5</v>
      </c>
      <c r="G22" s="3">
        <v>1953</v>
      </c>
      <c r="H22" s="3">
        <f t="shared" si="0"/>
        <v>44950</v>
      </c>
    </row>
    <row r="23" spans="1:8" x14ac:dyDescent="0.2">
      <c r="A23" s="2">
        <v>21</v>
      </c>
      <c r="B23" s="3">
        <v>2</v>
      </c>
      <c r="C23" s="3">
        <v>208</v>
      </c>
      <c r="D23" s="3">
        <v>22</v>
      </c>
      <c r="E23" s="3">
        <v>2483</v>
      </c>
      <c r="F23" s="3" t="s">
        <v>5</v>
      </c>
      <c r="G23" s="3">
        <v>1154</v>
      </c>
      <c r="H23" s="3">
        <f t="shared" si="0"/>
        <v>46104</v>
      </c>
    </row>
    <row r="24" spans="1:8" x14ac:dyDescent="0.2">
      <c r="A24" s="2">
        <v>21</v>
      </c>
      <c r="B24" s="3">
        <v>2</v>
      </c>
      <c r="C24" s="3">
        <v>208</v>
      </c>
      <c r="D24" s="3">
        <v>23</v>
      </c>
      <c r="E24" s="3">
        <v>2484</v>
      </c>
      <c r="F24" s="3" t="s">
        <v>5</v>
      </c>
      <c r="G24" s="3">
        <v>4205</v>
      </c>
      <c r="H24" s="3">
        <f t="shared" si="0"/>
        <v>50309</v>
      </c>
    </row>
    <row r="25" spans="1:8" x14ac:dyDescent="0.2">
      <c r="A25" s="2">
        <v>21</v>
      </c>
      <c r="B25" s="3">
        <v>2</v>
      </c>
      <c r="C25" s="3">
        <v>208</v>
      </c>
      <c r="D25" s="3">
        <v>24</v>
      </c>
      <c r="E25" s="3">
        <v>2485</v>
      </c>
      <c r="F25" s="3" t="s">
        <v>5</v>
      </c>
      <c r="G25" s="3">
        <v>1718</v>
      </c>
      <c r="H25" s="3">
        <f t="shared" si="0"/>
        <v>52027</v>
      </c>
    </row>
    <row r="26" spans="1:8" x14ac:dyDescent="0.2">
      <c r="A26" s="2">
        <v>21</v>
      </c>
      <c r="B26" s="3">
        <v>2</v>
      </c>
      <c r="C26" s="3">
        <v>208</v>
      </c>
      <c r="D26" s="3">
        <v>25</v>
      </c>
      <c r="E26" s="3">
        <v>2486</v>
      </c>
      <c r="F26" s="3" t="s">
        <v>5</v>
      </c>
      <c r="G26" s="3">
        <v>1760</v>
      </c>
      <c r="H26" s="3">
        <f t="shared" si="0"/>
        <v>53787</v>
      </c>
    </row>
    <row r="27" spans="1:8" x14ac:dyDescent="0.2">
      <c r="A27" s="2">
        <v>21</v>
      </c>
      <c r="B27" s="3">
        <v>2</v>
      </c>
      <c r="C27" s="3">
        <v>208</v>
      </c>
      <c r="D27" s="3">
        <v>26</v>
      </c>
      <c r="E27" s="3">
        <v>2487</v>
      </c>
      <c r="F27" s="3" t="s">
        <v>5</v>
      </c>
      <c r="G27" s="3">
        <v>1890</v>
      </c>
      <c r="H27" s="3">
        <f t="shared" si="0"/>
        <v>55677</v>
      </c>
    </row>
    <row r="28" spans="1:8" x14ac:dyDescent="0.2">
      <c r="A28" s="2">
        <v>21</v>
      </c>
      <c r="B28" s="3">
        <v>2</v>
      </c>
      <c r="C28" s="3">
        <v>208</v>
      </c>
      <c r="D28" s="3">
        <v>27</v>
      </c>
      <c r="E28" s="3">
        <v>2488</v>
      </c>
      <c r="F28" s="3" t="s">
        <v>5</v>
      </c>
      <c r="G28" s="3">
        <v>700</v>
      </c>
      <c r="H28" s="3">
        <f t="shared" si="0"/>
        <v>56377</v>
      </c>
    </row>
    <row r="29" spans="1:8" x14ac:dyDescent="0.2">
      <c r="A29" s="2">
        <v>21</v>
      </c>
      <c r="B29" s="3">
        <v>2</v>
      </c>
      <c r="C29" s="3">
        <v>208</v>
      </c>
      <c r="D29" s="3">
        <v>28</v>
      </c>
      <c r="E29" s="3">
        <v>2489</v>
      </c>
      <c r="F29" s="3" t="s">
        <v>5</v>
      </c>
      <c r="G29" s="3">
        <v>854</v>
      </c>
      <c r="H29" s="3">
        <f t="shared" si="0"/>
        <v>57231</v>
      </c>
    </row>
    <row r="30" spans="1:8" x14ac:dyDescent="0.2">
      <c r="A30" s="2">
        <v>21</v>
      </c>
      <c r="B30" s="3">
        <v>2</v>
      </c>
      <c r="C30" s="3">
        <v>208</v>
      </c>
      <c r="D30" s="3">
        <v>29</v>
      </c>
      <c r="E30" s="3">
        <v>2727</v>
      </c>
      <c r="F30" s="3" t="s">
        <v>4</v>
      </c>
      <c r="G30" s="3">
        <v>2382</v>
      </c>
      <c r="H30" s="3">
        <f t="shared" si="0"/>
        <v>59613</v>
      </c>
    </row>
    <row r="31" spans="1:8" x14ac:dyDescent="0.2">
      <c r="A31" s="2">
        <v>21</v>
      </c>
      <c r="B31" s="3">
        <v>2</v>
      </c>
      <c r="C31" s="3">
        <v>208</v>
      </c>
      <c r="D31" s="3">
        <v>30</v>
      </c>
      <c r="E31" s="3">
        <v>2808</v>
      </c>
      <c r="F31" s="3" t="s">
        <v>5</v>
      </c>
      <c r="G31" s="3">
        <v>1404</v>
      </c>
      <c r="H31" s="3">
        <f t="shared" si="0"/>
        <v>61017</v>
      </c>
    </row>
    <row r="32" spans="1:8" x14ac:dyDescent="0.2">
      <c r="A32" s="2">
        <v>21</v>
      </c>
      <c r="B32" s="3">
        <v>2</v>
      </c>
      <c r="C32" s="3">
        <v>208</v>
      </c>
      <c r="D32" s="3">
        <v>31</v>
      </c>
      <c r="E32" s="3">
        <v>2809</v>
      </c>
      <c r="F32" s="3" t="s">
        <v>5</v>
      </c>
      <c r="G32" s="3">
        <v>2234</v>
      </c>
      <c r="H32" s="3">
        <f t="shared" si="0"/>
        <v>63251</v>
      </c>
    </row>
    <row r="33" spans="1:8" x14ac:dyDescent="0.2">
      <c r="A33" s="2">
        <v>21</v>
      </c>
      <c r="B33" s="3">
        <v>2</v>
      </c>
      <c r="C33" s="3">
        <v>208</v>
      </c>
      <c r="D33" s="3">
        <v>32</v>
      </c>
      <c r="E33" s="3">
        <v>2895</v>
      </c>
      <c r="F33" s="3" t="s">
        <v>5</v>
      </c>
      <c r="G33" s="3">
        <v>2872</v>
      </c>
      <c r="H33" s="3">
        <f t="shared" si="0"/>
        <v>66123</v>
      </c>
    </row>
    <row r="34" spans="1:8" x14ac:dyDescent="0.2">
      <c r="A34" s="2">
        <v>21</v>
      </c>
      <c r="B34" s="3">
        <v>2</v>
      </c>
      <c r="C34" s="3">
        <v>208</v>
      </c>
      <c r="D34" s="3">
        <v>33</v>
      </c>
      <c r="E34" s="3">
        <v>2896</v>
      </c>
      <c r="F34" s="3" t="s">
        <v>5</v>
      </c>
      <c r="G34" s="3">
        <v>401</v>
      </c>
      <c r="H34" s="3">
        <f t="shared" si="0"/>
        <v>66524</v>
      </c>
    </row>
  </sheetData>
  <autoFilter ref="A1:H66" xr:uid="{96094B48-FD1C-4949-9A08-83ABD6EF53D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989E-BB58-5344-8ACF-4E3E2B271927}">
  <dimension ref="A1:K11"/>
  <sheetViews>
    <sheetView zoomScale="99" workbookViewId="0">
      <selection activeCell="J6" sqref="J6:J10"/>
    </sheetView>
  </sheetViews>
  <sheetFormatPr baseColWidth="10" defaultRowHeight="16" x14ac:dyDescent="0.2"/>
  <cols>
    <col min="9" max="9" width="4.83203125" customWidth="1"/>
    <col min="10" max="11" width="31.6640625" customWidth="1"/>
  </cols>
  <sheetData>
    <row r="1" spans="1:11" ht="26" x14ac:dyDescent="0.2">
      <c r="A1" s="4" t="s">
        <v>37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5" t="s">
        <v>9</v>
      </c>
      <c r="H1" s="5" t="s">
        <v>25</v>
      </c>
    </row>
    <row r="2" spans="1:11" x14ac:dyDescent="0.2">
      <c r="A2" s="2">
        <v>21</v>
      </c>
      <c r="B2" s="3">
        <v>2</v>
      </c>
      <c r="C2" s="3">
        <v>208</v>
      </c>
      <c r="D2" s="3">
        <v>2460</v>
      </c>
      <c r="E2" s="3" t="s">
        <v>4</v>
      </c>
      <c r="F2" s="3">
        <v>1870</v>
      </c>
      <c r="G2" s="3">
        <f>+F2</f>
        <v>1870</v>
      </c>
      <c r="H2" s="6"/>
      <c r="J2" t="s">
        <v>16</v>
      </c>
      <c r="K2">
        <f>ROUND(+K3/K4,0)</f>
        <v>3125</v>
      </c>
    </row>
    <row r="3" spans="1:11" x14ac:dyDescent="0.2">
      <c r="A3" s="2">
        <v>21</v>
      </c>
      <c r="B3" s="3">
        <v>2</v>
      </c>
      <c r="C3" s="3">
        <v>208</v>
      </c>
      <c r="D3" s="3">
        <v>2461</v>
      </c>
      <c r="E3" s="3" t="s">
        <v>4</v>
      </c>
      <c r="F3" s="3">
        <v>1674</v>
      </c>
      <c r="G3" s="3">
        <f>+F3+G2</f>
        <v>3544</v>
      </c>
      <c r="H3" s="6">
        <v>1</v>
      </c>
      <c r="J3" t="s">
        <v>17</v>
      </c>
      <c r="K3">
        <f>+G11</f>
        <v>15624</v>
      </c>
    </row>
    <row r="4" spans="1:11" x14ac:dyDescent="0.2">
      <c r="A4" s="2">
        <v>21</v>
      </c>
      <c r="B4" s="3">
        <v>2</v>
      </c>
      <c r="C4" s="3">
        <v>208</v>
      </c>
      <c r="D4" s="3">
        <v>2462</v>
      </c>
      <c r="E4" s="3" t="s">
        <v>4</v>
      </c>
      <c r="F4" s="3">
        <v>1646</v>
      </c>
      <c r="G4" s="3">
        <f>+F4+G3</f>
        <v>5190</v>
      </c>
      <c r="H4" s="9"/>
      <c r="J4" t="s">
        <v>18</v>
      </c>
      <c r="K4" s="8">
        <f>+'Lista Nominal'!L3</f>
        <v>5</v>
      </c>
    </row>
    <row r="5" spans="1:11" x14ac:dyDescent="0.2">
      <c r="A5" s="2">
        <v>21</v>
      </c>
      <c r="B5" s="3">
        <v>2</v>
      </c>
      <c r="C5" s="3">
        <v>208</v>
      </c>
      <c r="D5" s="3">
        <v>2463</v>
      </c>
      <c r="E5" s="3" t="s">
        <v>4</v>
      </c>
      <c r="F5" s="3">
        <v>1694</v>
      </c>
      <c r="G5" s="3">
        <f t="shared" ref="G5:G11" si="0">+F5+G4</f>
        <v>6884</v>
      </c>
      <c r="H5" s="6">
        <v>1</v>
      </c>
    </row>
    <row r="6" spans="1:11" x14ac:dyDescent="0.2">
      <c r="A6" s="2">
        <v>21</v>
      </c>
      <c r="B6" s="3">
        <v>2</v>
      </c>
      <c r="C6" s="3">
        <v>208</v>
      </c>
      <c r="D6" s="3">
        <v>2464</v>
      </c>
      <c r="E6" s="3" t="s">
        <v>4</v>
      </c>
      <c r="F6" s="3">
        <v>621</v>
      </c>
      <c r="G6" s="3">
        <f t="shared" si="0"/>
        <v>7505</v>
      </c>
      <c r="H6" s="6"/>
      <c r="J6" t="s">
        <v>19</v>
      </c>
      <c r="K6">
        <v>2111</v>
      </c>
    </row>
    <row r="7" spans="1:11" x14ac:dyDescent="0.2">
      <c r="A7" s="2">
        <v>21</v>
      </c>
      <c r="B7" s="3">
        <v>2</v>
      </c>
      <c r="C7" s="3">
        <v>208</v>
      </c>
      <c r="D7" s="3">
        <v>2465</v>
      </c>
      <c r="E7" s="3" t="s">
        <v>4</v>
      </c>
      <c r="F7" s="3">
        <v>2185</v>
      </c>
      <c r="G7" s="3">
        <f t="shared" si="0"/>
        <v>9690</v>
      </c>
      <c r="H7" s="6">
        <v>1</v>
      </c>
      <c r="J7" t="s">
        <v>20</v>
      </c>
      <c r="K7">
        <f>+K6+$K$2</f>
        <v>5236</v>
      </c>
    </row>
    <row r="8" spans="1:11" x14ac:dyDescent="0.2">
      <c r="A8" s="2">
        <v>21</v>
      </c>
      <c r="B8" s="3">
        <v>2</v>
      </c>
      <c r="C8" s="3">
        <v>208</v>
      </c>
      <c r="D8" s="3">
        <v>2466</v>
      </c>
      <c r="E8" s="3" t="s">
        <v>4</v>
      </c>
      <c r="F8" s="3">
        <v>1291</v>
      </c>
      <c r="G8" s="3">
        <f t="shared" si="0"/>
        <v>10981</v>
      </c>
      <c r="H8" s="9"/>
      <c r="J8" t="s">
        <v>21</v>
      </c>
      <c r="K8">
        <f>+K7+$K$2</f>
        <v>8361</v>
      </c>
    </row>
    <row r="9" spans="1:11" x14ac:dyDescent="0.2">
      <c r="A9" s="2">
        <v>21</v>
      </c>
      <c r="B9" s="3">
        <v>2</v>
      </c>
      <c r="C9" s="3">
        <v>208</v>
      </c>
      <c r="D9" s="3">
        <v>2467</v>
      </c>
      <c r="E9" s="3" t="s">
        <v>4</v>
      </c>
      <c r="F9" s="3">
        <v>1367</v>
      </c>
      <c r="G9" s="3">
        <f t="shared" si="0"/>
        <v>12348</v>
      </c>
      <c r="H9" s="6">
        <v>1</v>
      </c>
      <c r="J9" t="s">
        <v>22</v>
      </c>
      <c r="K9">
        <f>+K8+$K$2</f>
        <v>11486</v>
      </c>
    </row>
    <row r="10" spans="1:11" x14ac:dyDescent="0.2">
      <c r="A10" s="2">
        <v>21</v>
      </c>
      <c r="B10" s="3">
        <v>2</v>
      </c>
      <c r="C10" s="3">
        <v>208</v>
      </c>
      <c r="D10" s="3">
        <v>2469</v>
      </c>
      <c r="E10" s="3" t="s">
        <v>4</v>
      </c>
      <c r="F10" s="3">
        <v>894</v>
      </c>
      <c r="G10" s="3">
        <f t="shared" si="0"/>
        <v>13242</v>
      </c>
      <c r="H10" s="6"/>
      <c r="J10" t="s">
        <v>23</v>
      </c>
      <c r="K10">
        <f>+K9+$K$2</f>
        <v>14611</v>
      </c>
    </row>
    <row r="11" spans="1:11" x14ac:dyDescent="0.2">
      <c r="A11" s="2">
        <v>21</v>
      </c>
      <c r="B11" s="3">
        <v>2</v>
      </c>
      <c r="C11" s="3">
        <v>208</v>
      </c>
      <c r="D11" s="3">
        <v>2727</v>
      </c>
      <c r="E11" s="3" t="s">
        <v>4</v>
      </c>
      <c r="F11" s="3">
        <v>2382</v>
      </c>
      <c r="G11" s="3">
        <f t="shared" si="0"/>
        <v>15624</v>
      </c>
      <c r="H11" s="6">
        <v>1</v>
      </c>
    </row>
  </sheetData>
  <autoFilter ref="A1:K11" xr:uid="{A473989E-BB58-5344-8ACF-4E3E2B271927}"/>
  <sortState xmlns:xlrd2="http://schemas.microsoft.com/office/spreadsheetml/2017/richdata2" ref="L2:L6">
    <sortCondition ref="L2:L6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67FF-F4D3-984B-A1CC-67DE1BB05214}">
  <dimension ref="A1:K23"/>
  <sheetViews>
    <sheetView zoomScale="99" workbookViewId="0">
      <selection activeCell="J3" sqref="J3"/>
    </sheetView>
  </sheetViews>
  <sheetFormatPr baseColWidth="10" defaultRowHeight="16" x14ac:dyDescent="0.2"/>
  <cols>
    <col min="9" max="9" width="5.5" customWidth="1"/>
    <col min="10" max="10" width="24.6640625" customWidth="1"/>
    <col min="11" max="11" width="7.83203125" customWidth="1"/>
  </cols>
  <sheetData>
    <row r="1" spans="1:11" ht="26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5" t="s">
        <v>9</v>
      </c>
      <c r="H1" s="5" t="s">
        <v>35</v>
      </c>
      <c r="I1" s="5" t="s">
        <v>36</v>
      </c>
    </row>
    <row r="2" spans="1:11" x14ac:dyDescent="0.2">
      <c r="A2" s="2">
        <v>21</v>
      </c>
      <c r="B2" s="3">
        <v>2</v>
      </c>
      <c r="C2" s="3">
        <v>208</v>
      </c>
      <c r="D2" s="3">
        <v>2470</v>
      </c>
      <c r="E2" s="3" t="s">
        <v>5</v>
      </c>
      <c r="F2" s="3">
        <v>2060</v>
      </c>
      <c r="G2" s="3">
        <f>+F2</f>
        <v>2060</v>
      </c>
      <c r="H2" s="6">
        <v>1</v>
      </c>
      <c r="J2" t="s">
        <v>16</v>
      </c>
      <c r="K2">
        <f>ROUND(+K3/K4,0)</f>
        <v>3039</v>
      </c>
    </row>
    <row r="3" spans="1:11" x14ac:dyDescent="0.2">
      <c r="A3" s="2">
        <v>21</v>
      </c>
      <c r="B3" s="3">
        <v>2</v>
      </c>
      <c r="C3" s="3">
        <v>208</v>
      </c>
      <c r="D3" s="3">
        <v>2471</v>
      </c>
      <c r="E3" s="3" t="s">
        <v>5</v>
      </c>
      <c r="F3" s="3">
        <v>2234</v>
      </c>
      <c r="G3" s="3">
        <f t="shared" ref="G3:G23" si="0">+F3+G2</f>
        <v>4294</v>
      </c>
      <c r="H3" s="6">
        <v>1</v>
      </c>
      <c r="J3" t="s">
        <v>17</v>
      </c>
      <c r="K3">
        <f>+G23</f>
        <v>45591</v>
      </c>
    </row>
    <row r="4" spans="1:11" x14ac:dyDescent="0.2">
      <c r="A4" s="2">
        <v>21</v>
      </c>
      <c r="B4" s="3">
        <v>2</v>
      </c>
      <c r="C4" s="3">
        <v>208</v>
      </c>
      <c r="D4" s="3">
        <v>2472</v>
      </c>
      <c r="E4" s="3" t="s">
        <v>5</v>
      </c>
      <c r="F4" s="3">
        <v>2901</v>
      </c>
      <c r="G4" s="3">
        <f t="shared" si="0"/>
        <v>7195</v>
      </c>
      <c r="H4" s="9"/>
      <c r="J4" t="s">
        <v>18</v>
      </c>
      <c r="K4" s="8">
        <f>+'Lista Nominal'!L4</f>
        <v>15</v>
      </c>
    </row>
    <row r="5" spans="1:11" x14ac:dyDescent="0.2">
      <c r="A5" s="2">
        <v>21</v>
      </c>
      <c r="B5" s="3">
        <v>2</v>
      </c>
      <c r="C5" s="3">
        <v>208</v>
      </c>
      <c r="D5" s="3">
        <v>2473</v>
      </c>
      <c r="E5" s="3" t="s">
        <v>5</v>
      </c>
      <c r="F5" s="3">
        <v>2202</v>
      </c>
      <c r="G5" s="3">
        <f t="shared" si="0"/>
        <v>9397</v>
      </c>
      <c r="H5" s="6">
        <v>1</v>
      </c>
    </row>
    <row r="6" spans="1:11" x14ac:dyDescent="0.2">
      <c r="A6" s="2">
        <v>21</v>
      </c>
      <c r="B6" s="3">
        <v>2</v>
      </c>
      <c r="C6" s="3">
        <v>208</v>
      </c>
      <c r="D6" s="3">
        <v>2474</v>
      </c>
      <c r="E6" s="3" t="s">
        <v>5</v>
      </c>
      <c r="F6" s="3">
        <v>1836</v>
      </c>
      <c r="G6" s="3">
        <f t="shared" si="0"/>
        <v>11233</v>
      </c>
      <c r="H6" s="10">
        <v>1</v>
      </c>
      <c r="J6" t="s">
        <v>19</v>
      </c>
      <c r="K6">
        <v>1120</v>
      </c>
    </row>
    <row r="7" spans="1:11" x14ac:dyDescent="0.2">
      <c r="A7" s="2">
        <v>21</v>
      </c>
      <c r="B7" s="3">
        <v>2</v>
      </c>
      <c r="C7" s="3">
        <v>208</v>
      </c>
      <c r="D7" s="3">
        <v>2475</v>
      </c>
      <c r="E7" s="3" t="s">
        <v>5</v>
      </c>
      <c r="F7" s="3">
        <v>2141</v>
      </c>
      <c r="G7" s="3">
        <f t="shared" si="0"/>
        <v>13374</v>
      </c>
      <c r="H7" s="10">
        <v>1</v>
      </c>
      <c r="J7" t="s">
        <v>20</v>
      </c>
      <c r="K7">
        <f>+K6+$K$2</f>
        <v>4159</v>
      </c>
    </row>
    <row r="8" spans="1:11" x14ac:dyDescent="0.2">
      <c r="A8" s="2">
        <v>21</v>
      </c>
      <c r="B8" s="3">
        <v>2</v>
      </c>
      <c r="C8" s="3">
        <v>208</v>
      </c>
      <c r="D8" s="3">
        <v>2476</v>
      </c>
      <c r="E8" s="3" t="s">
        <v>5</v>
      </c>
      <c r="F8" s="3">
        <v>1256</v>
      </c>
      <c r="G8" s="3">
        <f t="shared" si="0"/>
        <v>14630</v>
      </c>
      <c r="H8" s="10"/>
      <c r="J8" t="s">
        <v>21</v>
      </c>
      <c r="K8">
        <f>+K7+$K$2</f>
        <v>7198</v>
      </c>
    </row>
    <row r="9" spans="1:11" x14ac:dyDescent="0.2">
      <c r="A9" s="2">
        <v>21</v>
      </c>
      <c r="B9" s="3">
        <v>2</v>
      </c>
      <c r="C9" s="3">
        <v>208</v>
      </c>
      <c r="D9" s="3">
        <v>2477</v>
      </c>
      <c r="E9" s="3" t="s">
        <v>5</v>
      </c>
      <c r="F9" s="3">
        <v>1050</v>
      </c>
      <c r="G9" s="3">
        <f t="shared" si="0"/>
        <v>15680</v>
      </c>
      <c r="H9" s="9"/>
      <c r="J9" t="s">
        <v>22</v>
      </c>
      <c r="K9">
        <f>+K8+$K$2</f>
        <v>10237</v>
      </c>
    </row>
    <row r="10" spans="1:11" x14ac:dyDescent="0.2">
      <c r="A10" s="2">
        <v>21</v>
      </c>
      <c r="B10" s="3">
        <v>2</v>
      </c>
      <c r="C10" s="3">
        <v>208</v>
      </c>
      <c r="D10" s="3">
        <v>2478</v>
      </c>
      <c r="E10" s="3" t="s">
        <v>5</v>
      </c>
      <c r="F10" s="3">
        <v>4152</v>
      </c>
      <c r="G10" s="3">
        <f t="shared" si="0"/>
        <v>19832</v>
      </c>
      <c r="H10" s="10">
        <v>2</v>
      </c>
      <c r="J10" t="s">
        <v>23</v>
      </c>
      <c r="K10">
        <f>+K9+$K$2</f>
        <v>13276</v>
      </c>
    </row>
    <row r="11" spans="1:11" x14ac:dyDescent="0.2">
      <c r="A11" s="2">
        <v>21</v>
      </c>
      <c r="B11" s="3">
        <v>2</v>
      </c>
      <c r="C11" s="3">
        <v>208</v>
      </c>
      <c r="D11" s="3">
        <v>2480</v>
      </c>
      <c r="E11" s="3" t="s">
        <v>5</v>
      </c>
      <c r="F11" s="3">
        <v>4614</v>
      </c>
      <c r="G11" s="3">
        <f t="shared" si="0"/>
        <v>24446</v>
      </c>
      <c r="H11" s="10">
        <v>1</v>
      </c>
      <c r="J11" t="s">
        <v>24</v>
      </c>
      <c r="K11">
        <f>+K10+$K$2</f>
        <v>16315</v>
      </c>
    </row>
    <row r="12" spans="1:11" x14ac:dyDescent="0.2">
      <c r="A12" s="2">
        <v>21</v>
      </c>
      <c r="B12" s="3">
        <v>2</v>
      </c>
      <c r="C12" s="3">
        <v>208</v>
      </c>
      <c r="D12" s="3">
        <v>2482</v>
      </c>
      <c r="E12" s="3" t="s">
        <v>5</v>
      </c>
      <c r="F12" s="3">
        <v>1953</v>
      </c>
      <c r="G12" s="3">
        <f t="shared" si="0"/>
        <v>26399</v>
      </c>
      <c r="H12" s="10">
        <v>1</v>
      </c>
      <c r="J12" t="s">
        <v>26</v>
      </c>
      <c r="K12">
        <f>+K11+$K$2</f>
        <v>19354</v>
      </c>
    </row>
    <row r="13" spans="1:11" x14ac:dyDescent="0.2">
      <c r="A13" s="2">
        <v>21</v>
      </c>
      <c r="B13" s="3">
        <v>2</v>
      </c>
      <c r="C13" s="3">
        <v>208</v>
      </c>
      <c r="D13" s="3">
        <v>2483</v>
      </c>
      <c r="E13" s="3" t="s">
        <v>5</v>
      </c>
      <c r="F13" s="3">
        <v>1154</v>
      </c>
      <c r="G13" s="3">
        <f t="shared" si="0"/>
        <v>27553</v>
      </c>
      <c r="H13" s="9"/>
      <c r="J13" t="s">
        <v>27</v>
      </c>
      <c r="K13">
        <f>+K12+$K$2</f>
        <v>22393</v>
      </c>
    </row>
    <row r="14" spans="1:11" x14ac:dyDescent="0.2">
      <c r="A14" s="2">
        <v>21</v>
      </c>
      <c r="B14" s="3">
        <v>2</v>
      </c>
      <c r="C14" s="3">
        <v>208</v>
      </c>
      <c r="D14" s="3">
        <v>2484</v>
      </c>
      <c r="E14" s="3" t="s">
        <v>5</v>
      </c>
      <c r="F14" s="3">
        <v>4205</v>
      </c>
      <c r="G14" s="3">
        <f t="shared" si="0"/>
        <v>31758</v>
      </c>
      <c r="H14" s="10">
        <v>2</v>
      </c>
      <c r="J14" t="s">
        <v>28</v>
      </c>
      <c r="K14">
        <f>+K13+$K$2</f>
        <v>25432</v>
      </c>
    </row>
    <row r="15" spans="1:11" x14ac:dyDescent="0.2">
      <c r="A15" s="2">
        <v>21</v>
      </c>
      <c r="B15" s="3">
        <v>2</v>
      </c>
      <c r="C15" s="3">
        <v>208</v>
      </c>
      <c r="D15" s="3">
        <v>2485</v>
      </c>
      <c r="E15" s="3" t="s">
        <v>5</v>
      </c>
      <c r="F15" s="3">
        <v>1718</v>
      </c>
      <c r="G15" s="3">
        <f t="shared" si="0"/>
        <v>33476</v>
      </c>
      <c r="H15" s="10">
        <v>1</v>
      </c>
      <c r="J15" t="s">
        <v>29</v>
      </c>
      <c r="K15">
        <f>+K14+$K$2</f>
        <v>28471</v>
      </c>
    </row>
    <row r="16" spans="1:11" x14ac:dyDescent="0.2">
      <c r="A16" s="2">
        <v>21</v>
      </c>
      <c r="B16" s="3">
        <v>2</v>
      </c>
      <c r="C16" s="3">
        <v>208</v>
      </c>
      <c r="D16" s="3">
        <v>2486</v>
      </c>
      <c r="E16" s="3" t="s">
        <v>5</v>
      </c>
      <c r="F16" s="3">
        <v>1760</v>
      </c>
      <c r="G16" s="3">
        <f t="shared" si="0"/>
        <v>35236</v>
      </c>
      <c r="H16" s="9"/>
      <c r="J16" t="s">
        <v>30</v>
      </c>
      <c r="K16">
        <f>+K15+$K$2</f>
        <v>31510</v>
      </c>
    </row>
    <row r="17" spans="1:11" x14ac:dyDescent="0.2">
      <c r="A17" s="2">
        <v>21</v>
      </c>
      <c r="B17" s="3">
        <v>2</v>
      </c>
      <c r="C17" s="3">
        <v>208</v>
      </c>
      <c r="D17" s="3">
        <v>2487</v>
      </c>
      <c r="E17" s="3" t="s">
        <v>5</v>
      </c>
      <c r="F17" s="3">
        <v>1890</v>
      </c>
      <c r="G17" s="3">
        <f t="shared" si="0"/>
        <v>37126</v>
      </c>
      <c r="H17" s="9"/>
      <c r="J17" t="s">
        <v>31</v>
      </c>
      <c r="K17">
        <f>+K16+$K$2</f>
        <v>34549</v>
      </c>
    </row>
    <row r="18" spans="1:11" x14ac:dyDescent="0.2">
      <c r="A18" s="2">
        <v>21</v>
      </c>
      <c r="B18" s="3">
        <v>2</v>
      </c>
      <c r="C18" s="3">
        <v>208</v>
      </c>
      <c r="D18" s="3">
        <v>2488</v>
      </c>
      <c r="E18" s="3" t="s">
        <v>5</v>
      </c>
      <c r="F18" s="3">
        <v>700</v>
      </c>
      <c r="G18" s="3">
        <f t="shared" si="0"/>
        <v>37826</v>
      </c>
      <c r="H18" s="6">
        <v>1</v>
      </c>
      <c r="J18" t="s">
        <v>32</v>
      </c>
      <c r="K18">
        <f>+K17+$K$2</f>
        <v>37588</v>
      </c>
    </row>
    <row r="19" spans="1:11" x14ac:dyDescent="0.2">
      <c r="A19" s="2">
        <v>21</v>
      </c>
      <c r="B19" s="3">
        <v>2</v>
      </c>
      <c r="C19" s="3">
        <v>208</v>
      </c>
      <c r="D19" s="3">
        <v>2489</v>
      </c>
      <c r="E19" s="3" t="s">
        <v>5</v>
      </c>
      <c r="F19" s="3">
        <v>854</v>
      </c>
      <c r="G19" s="3">
        <f t="shared" si="0"/>
        <v>38680</v>
      </c>
      <c r="H19" s="9"/>
      <c r="J19" t="s">
        <v>33</v>
      </c>
      <c r="K19">
        <f>+K18+$K$2</f>
        <v>40627</v>
      </c>
    </row>
    <row r="20" spans="1:11" x14ac:dyDescent="0.2">
      <c r="A20" s="2">
        <v>21</v>
      </c>
      <c r="B20" s="3">
        <v>2</v>
      </c>
      <c r="C20" s="3">
        <v>208</v>
      </c>
      <c r="D20" s="3">
        <v>2808</v>
      </c>
      <c r="E20" s="3" t="s">
        <v>5</v>
      </c>
      <c r="F20" s="3">
        <v>1404</v>
      </c>
      <c r="G20" s="3">
        <f t="shared" si="0"/>
        <v>40084</v>
      </c>
      <c r="H20" s="9"/>
      <c r="J20" t="s">
        <v>34</v>
      </c>
      <c r="K20">
        <f>+K19+$K$2</f>
        <v>43666</v>
      </c>
    </row>
    <row r="21" spans="1:11" x14ac:dyDescent="0.2">
      <c r="A21" s="2">
        <v>21</v>
      </c>
      <c r="B21" s="3">
        <v>2</v>
      </c>
      <c r="C21" s="3">
        <v>208</v>
      </c>
      <c r="D21" s="3">
        <v>2809</v>
      </c>
      <c r="E21" s="3" t="s">
        <v>5</v>
      </c>
      <c r="F21" s="3">
        <v>2234</v>
      </c>
      <c r="G21" s="3">
        <f t="shared" si="0"/>
        <v>42318</v>
      </c>
      <c r="H21" s="6">
        <v>1</v>
      </c>
    </row>
    <row r="22" spans="1:11" x14ac:dyDescent="0.2">
      <c r="A22" s="2">
        <v>21</v>
      </c>
      <c r="B22" s="3">
        <v>2</v>
      </c>
      <c r="C22" s="3">
        <v>208</v>
      </c>
      <c r="D22" s="3">
        <v>2895</v>
      </c>
      <c r="E22" s="3" t="s">
        <v>5</v>
      </c>
      <c r="F22" s="3">
        <v>2872</v>
      </c>
      <c r="G22" s="3">
        <f t="shared" si="0"/>
        <v>45190</v>
      </c>
      <c r="H22" s="6">
        <v>1</v>
      </c>
    </row>
    <row r="23" spans="1:11" x14ac:dyDescent="0.2">
      <c r="A23" s="2">
        <v>21</v>
      </c>
      <c r="B23" s="3">
        <v>2</v>
      </c>
      <c r="C23" s="3">
        <v>208</v>
      </c>
      <c r="D23" s="3">
        <v>2896</v>
      </c>
      <c r="E23" s="3" t="s">
        <v>5</v>
      </c>
      <c r="F23" s="3">
        <v>401</v>
      </c>
      <c r="G23" s="3">
        <f t="shared" si="0"/>
        <v>45591</v>
      </c>
      <c r="H23" s="6"/>
    </row>
  </sheetData>
  <autoFilter ref="A1:K23" xr:uid="{FE4E67FF-F4D3-984B-A1CC-67DE1BB05214}"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322D-B551-7246-94B9-11B2489A35E9}">
  <dimension ref="A1:G2"/>
  <sheetViews>
    <sheetView zoomScale="99" workbookViewId="0">
      <selection activeCell="A2" sqref="A2:G2"/>
    </sheetView>
  </sheetViews>
  <sheetFormatPr baseColWidth="10" defaultRowHeight="16" x14ac:dyDescent="0.2"/>
  <cols>
    <col min="9" max="9" width="18.83203125" customWidth="1"/>
    <col min="11" max="11" width="7.83203125" customWidth="1"/>
  </cols>
  <sheetData>
    <row r="1" spans="1:7" ht="26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5" t="s">
        <v>9</v>
      </c>
    </row>
    <row r="2" spans="1:7" x14ac:dyDescent="0.2">
      <c r="A2" s="2">
        <v>21</v>
      </c>
      <c r="B2" s="3">
        <v>2</v>
      </c>
      <c r="C2" s="3">
        <v>208</v>
      </c>
      <c r="D2" s="3">
        <v>2481</v>
      </c>
      <c r="E2" s="3" t="s">
        <v>6</v>
      </c>
      <c r="F2" s="3">
        <v>5309</v>
      </c>
      <c r="G2" s="3">
        <v>5309</v>
      </c>
    </row>
  </sheetData>
  <autoFilter ref="A1:G34" xr:uid="{96094B48-FD1C-4949-9A08-83ABD6EF53D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F0DB-C8ED-C949-B6DF-14D55AC62E72}">
  <dimension ref="A1:M21"/>
  <sheetViews>
    <sheetView tabSelected="1" workbookViewId="0">
      <selection activeCell="P11" sqref="P11"/>
    </sheetView>
  </sheetViews>
  <sheetFormatPr baseColWidth="10" defaultRowHeight="16" x14ac:dyDescent="0.2"/>
  <cols>
    <col min="11" max="11" width="7.1640625" customWidth="1"/>
    <col min="12" max="12" width="19.5" customWidth="1"/>
  </cols>
  <sheetData>
    <row r="1" spans="1:13" ht="26" x14ac:dyDescent="0.2">
      <c r="A1" s="4" t="s">
        <v>37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5" t="s">
        <v>9</v>
      </c>
      <c r="H1" s="5" t="s">
        <v>42</v>
      </c>
      <c r="I1" s="5" t="s">
        <v>43</v>
      </c>
      <c r="J1" s="5" t="s">
        <v>44</v>
      </c>
    </row>
    <row r="2" spans="1:13" x14ac:dyDescent="0.2">
      <c r="A2" s="2">
        <v>21</v>
      </c>
      <c r="B2" s="3">
        <v>2</v>
      </c>
      <c r="C2" s="3">
        <v>208</v>
      </c>
      <c r="D2" s="3">
        <v>2461</v>
      </c>
      <c r="E2" s="3" t="s">
        <v>4</v>
      </c>
      <c r="F2" s="3">
        <v>1674</v>
      </c>
      <c r="G2" s="3">
        <v>3544</v>
      </c>
      <c r="H2" s="6">
        <v>1</v>
      </c>
      <c r="I2" s="12">
        <f>+(F2*H2)/66524</f>
        <v>2.5163850640370394E-2</v>
      </c>
      <c r="J2" s="13">
        <f>1/I2</f>
        <v>39.739545997610513</v>
      </c>
      <c r="L2" t="s">
        <v>25</v>
      </c>
      <c r="M2">
        <v>640</v>
      </c>
    </row>
    <row r="3" spans="1:13" x14ac:dyDescent="0.2">
      <c r="A3" s="2">
        <v>21</v>
      </c>
      <c r="B3" s="3">
        <v>2</v>
      </c>
      <c r="C3" s="3">
        <v>208</v>
      </c>
      <c r="D3" s="3">
        <v>2463</v>
      </c>
      <c r="E3" s="3" t="s">
        <v>4</v>
      </c>
      <c r="F3" s="3">
        <v>1694</v>
      </c>
      <c r="G3" s="3">
        <v>6884</v>
      </c>
      <c r="H3" s="6">
        <v>1</v>
      </c>
      <c r="I3" s="12">
        <f>+(F3*H3)/66524</f>
        <v>2.54644940171968E-2</v>
      </c>
      <c r="J3" s="13">
        <f>1/I3</f>
        <v>39.270365997638727</v>
      </c>
      <c r="L3" t="s">
        <v>38</v>
      </c>
      <c r="M3">
        <v>22</v>
      </c>
    </row>
    <row r="4" spans="1:13" x14ac:dyDescent="0.2">
      <c r="A4" s="2">
        <v>21</v>
      </c>
      <c r="B4" s="3">
        <v>2</v>
      </c>
      <c r="C4" s="3">
        <v>208</v>
      </c>
      <c r="D4" s="3">
        <v>2465</v>
      </c>
      <c r="E4" s="3" t="s">
        <v>4</v>
      </c>
      <c r="F4" s="3">
        <v>2185</v>
      </c>
      <c r="G4" s="3">
        <v>9690</v>
      </c>
      <c r="H4" s="6">
        <v>1</v>
      </c>
      <c r="I4" s="12">
        <f>+(F4*H4)/66524</f>
        <v>3.2845288918285129E-2</v>
      </c>
      <c r="J4" s="13">
        <f>1/I4</f>
        <v>30.445766590389017</v>
      </c>
      <c r="L4" t="s">
        <v>39</v>
      </c>
      <c r="M4" s="8">
        <f>+M2/M3</f>
        <v>29.09090909090909</v>
      </c>
    </row>
    <row r="5" spans="1:13" x14ac:dyDescent="0.2">
      <c r="A5" s="2">
        <v>21</v>
      </c>
      <c r="B5" s="3">
        <v>2</v>
      </c>
      <c r="C5" s="3">
        <v>208</v>
      </c>
      <c r="D5" s="3">
        <v>2467</v>
      </c>
      <c r="E5" s="3" t="s">
        <v>4</v>
      </c>
      <c r="F5" s="3">
        <v>1367</v>
      </c>
      <c r="G5" s="3">
        <v>12348</v>
      </c>
      <c r="H5" s="6">
        <v>1</v>
      </c>
      <c r="I5" s="12">
        <f>+(F5*H5)/66524</f>
        <v>2.0548974806085023E-2</v>
      </c>
      <c r="J5" s="13">
        <f>1/I5</f>
        <v>48.664228237015358</v>
      </c>
    </row>
    <row r="6" spans="1:13" x14ac:dyDescent="0.2">
      <c r="A6" s="2">
        <v>21</v>
      </c>
      <c r="B6" s="3">
        <v>2</v>
      </c>
      <c r="C6" s="3">
        <v>208</v>
      </c>
      <c r="D6" s="3">
        <v>2470</v>
      </c>
      <c r="E6" s="3" t="s">
        <v>5</v>
      </c>
      <c r="F6" s="3">
        <v>2060</v>
      </c>
      <c r="G6" s="3">
        <v>2060</v>
      </c>
      <c r="H6" s="6">
        <v>1</v>
      </c>
      <c r="I6" s="12">
        <f>+(F6*H6)/66524</f>
        <v>3.0966267813120077E-2</v>
      </c>
      <c r="J6" s="13">
        <f>1/I6</f>
        <v>32.293203883495146</v>
      </c>
      <c r="L6" t="s">
        <v>41</v>
      </c>
      <c r="M6">
        <f>+M5</f>
        <v>0</v>
      </c>
    </row>
    <row r="7" spans="1:13" x14ac:dyDescent="0.2">
      <c r="A7" s="2">
        <v>21</v>
      </c>
      <c r="B7" s="3">
        <v>2</v>
      </c>
      <c r="C7" s="3">
        <v>208</v>
      </c>
      <c r="D7" s="3">
        <v>2471</v>
      </c>
      <c r="E7" s="3" t="s">
        <v>5</v>
      </c>
      <c r="F7" s="3">
        <v>2234</v>
      </c>
      <c r="G7" s="3">
        <v>4294</v>
      </c>
      <c r="H7" s="6">
        <v>1</v>
      </c>
      <c r="I7" s="12">
        <f>+(F7*H7)/66524</f>
        <v>3.3581865191509831E-2</v>
      </c>
      <c r="J7" s="13">
        <f>1/I7</f>
        <v>29.777976723366159</v>
      </c>
    </row>
    <row r="8" spans="1:13" x14ac:dyDescent="0.2">
      <c r="A8" s="2">
        <v>21</v>
      </c>
      <c r="B8" s="3">
        <v>2</v>
      </c>
      <c r="C8" s="3">
        <v>208</v>
      </c>
      <c r="D8" s="3">
        <v>2473</v>
      </c>
      <c r="E8" s="3" t="s">
        <v>5</v>
      </c>
      <c r="F8" s="3">
        <v>2202</v>
      </c>
      <c r="G8" s="3">
        <v>9397</v>
      </c>
      <c r="H8" s="6">
        <v>1</v>
      </c>
      <c r="I8" s="12">
        <f>+(F8*H8)/66524</f>
        <v>3.3100835788587579E-2</v>
      </c>
      <c r="J8" s="13">
        <f>1/I8</f>
        <v>30.210717529518618</v>
      </c>
    </row>
    <row r="9" spans="1:13" x14ac:dyDescent="0.2">
      <c r="A9" s="2">
        <v>21</v>
      </c>
      <c r="B9" s="3">
        <v>2</v>
      </c>
      <c r="C9" s="3">
        <v>208</v>
      </c>
      <c r="D9" s="3">
        <v>2474</v>
      </c>
      <c r="E9" s="3" t="s">
        <v>5</v>
      </c>
      <c r="F9" s="3">
        <v>1836</v>
      </c>
      <c r="G9" s="3">
        <v>11233</v>
      </c>
      <c r="H9" s="6">
        <v>1</v>
      </c>
      <c r="I9" s="12">
        <f>+(F9*H9)/66524</f>
        <v>2.7599061992664303E-2</v>
      </c>
      <c r="J9" s="13">
        <f>1/I9</f>
        <v>36.233115468409586</v>
      </c>
    </row>
    <row r="10" spans="1:13" x14ac:dyDescent="0.2">
      <c r="A10" s="2">
        <v>21</v>
      </c>
      <c r="B10" s="3">
        <v>2</v>
      </c>
      <c r="C10" s="3">
        <v>208</v>
      </c>
      <c r="D10" s="3">
        <v>2475</v>
      </c>
      <c r="E10" s="3" t="s">
        <v>5</v>
      </c>
      <c r="F10" s="3">
        <v>2141</v>
      </c>
      <c r="G10" s="3">
        <v>13374</v>
      </c>
      <c r="H10" s="10">
        <v>1</v>
      </c>
      <c r="I10" s="12">
        <f>+(F10*H10)/66524</f>
        <v>3.2183873489267031E-2</v>
      </c>
      <c r="J10" s="13">
        <f>1/I10</f>
        <v>31.071461933675852</v>
      </c>
    </row>
    <row r="11" spans="1:13" x14ac:dyDescent="0.2">
      <c r="A11" s="2">
        <v>21</v>
      </c>
      <c r="B11" s="3">
        <v>2</v>
      </c>
      <c r="C11" s="3">
        <v>208</v>
      </c>
      <c r="D11" s="3">
        <v>2478</v>
      </c>
      <c r="E11" s="3" t="s">
        <v>5</v>
      </c>
      <c r="F11" s="3">
        <v>4152</v>
      </c>
      <c r="G11" s="3">
        <v>19832</v>
      </c>
      <c r="H11" s="10">
        <v>2</v>
      </c>
      <c r="I11" s="12">
        <f>+(F11*H11)/66524</f>
        <v>0.12482713005832481</v>
      </c>
      <c r="J11" s="13">
        <f>1/I11</f>
        <v>8.0110789980732182</v>
      </c>
    </row>
    <row r="12" spans="1:13" x14ac:dyDescent="0.2">
      <c r="A12" s="2">
        <v>21</v>
      </c>
      <c r="B12" s="3">
        <v>2</v>
      </c>
      <c r="C12" s="3">
        <v>208</v>
      </c>
      <c r="D12" s="3">
        <v>2480</v>
      </c>
      <c r="E12" s="3" t="s">
        <v>5</v>
      </c>
      <c r="F12" s="3">
        <v>4614</v>
      </c>
      <c r="G12" s="3">
        <v>24446</v>
      </c>
      <c r="H12" s="10">
        <v>1</v>
      </c>
      <c r="I12" s="12">
        <f>+(F12*H12)/66524</f>
        <v>6.9358427033852449E-2</v>
      </c>
      <c r="J12" s="13">
        <f>1/I12</f>
        <v>14.417858690940614</v>
      </c>
    </row>
    <row r="13" spans="1:13" x14ac:dyDescent="0.2">
      <c r="A13" s="2">
        <v>21</v>
      </c>
      <c r="B13" s="3">
        <v>2</v>
      </c>
      <c r="C13" s="3">
        <v>208</v>
      </c>
      <c r="D13" s="3">
        <v>2481</v>
      </c>
      <c r="E13" s="3" t="s">
        <v>6</v>
      </c>
      <c r="F13" s="3">
        <v>5309</v>
      </c>
      <c r="G13" s="3">
        <v>5309</v>
      </c>
      <c r="H13" s="10">
        <v>1</v>
      </c>
      <c r="I13" s="12">
        <f>+(F13*H13)/66524</f>
        <v>7.9805784378570138E-2</v>
      </c>
      <c r="J13" s="13">
        <f>1/I13</f>
        <v>12.530420041439067</v>
      </c>
      <c r="K13" s="7"/>
    </row>
    <row r="14" spans="1:13" x14ac:dyDescent="0.2">
      <c r="A14" s="2">
        <v>21</v>
      </c>
      <c r="B14" s="3">
        <v>2</v>
      </c>
      <c r="C14" s="3">
        <v>208</v>
      </c>
      <c r="D14" s="3">
        <v>2482</v>
      </c>
      <c r="E14" s="3" t="s">
        <v>5</v>
      </c>
      <c r="F14" s="3">
        <v>1953</v>
      </c>
      <c r="G14" s="3">
        <v>26399</v>
      </c>
      <c r="H14" s="10">
        <v>1</v>
      </c>
      <c r="I14" s="12">
        <f>+(F14*H14)/66524</f>
        <v>2.9357825747098793E-2</v>
      </c>
      <c r="J14" s="13">
        <f>1/I14</f>
        <v>34.06246799795187</v>
      </c>
    </row>
    <row r="15" spans="1:13" x14ac:dyDescent="0.2">
      <c r="A15" s="2">
        <v>21</v>
      </c>
      <c r="B15" s="3">
        <v>2</v>
      </c>
      <c r="C15" s="3">
        <v>208</v>
      </c>
      <c r="D15" s="3">
        <v>2484</v>
      </c>
      <c r="E15" s="3" t="s">
        <v>5</v>
      </c>
      <c r="F15" s="3">
        <v>4205</v>
      </c>
      <c r="G15" s="3">
        <v>31758</v>
      </c>
      <c r="H15" s="10">
        <v>2</v>
      </c>
      <c r="I15" s="12">
        <f>+(F15*H15)/66524</f>
        <v>0.12642053995550478</v>
      </c>
      <c r="J15" s="13">
        <f>1/I15</f>
        <v>7.9101070154577879</v>
      </c>
    </row>
    <row r="16" spans="1:13" x14ac:dyDescent="0.2">
      <c r="A16" s="2">
        <v>21</v>
      </c>
      <c r="B16" s="3">
        <v>2</v>
      </c>
      <c r="C16" s="3">
        <v>208</v>
      </c>
      <c r="D16" s="3">
        <v>2485</v>
      </c>
      <c r="E16" s="3" t="s">
        <v>5</v>
      </c>
      <c r="F16" s="3">
        <v>1718</v>
      </c>
      <c r="G16" s="3">
        <v>33476</v>
      </c>
      <c r="H16" s="10">
        <v>1</v>
      </c>
      <c r="I16" s="12">
        <f>+(F16*H16)/66524</f>
        <v>2.5825266069388491E-2</v>
      </c>
      <c r="J16" s="13">
        <f>1/I16</f>
        <v>38.721769499417931</v>
      </c>
    </row>
    <row r="17" spans="1:13" x14ac:dyDescent="0.2">
      <c r="A17" s="2">
        <v>21</v>
      </c>
      <c r="B17" s="3">
        <v>2</v>
      </c>
      <c r="C17" s="3">
        <v>208</v>
      </c>
      <c r="D17" s="3">
        <v>2488</v>
      </c>
      <c r="E17" s="3" t="s">
        <v>5</v>
      </c>
      <c r="F17" s="3">
        <v>700</v>
      </c>
      <c r="G17" s="3">
        <v>37826</v>
      </c>
      <c r="H17" s="6">
        <v>1</v>
      </c>
      <c r="I17" s="12">
        <f>+(F17*H17)/66524</f>
        <v>1.0522518188924298E-2</v>
      </c>
      <c r="J17" s="13">
        <f>1/I17</f>
        <v>95.034285714285716</v>
      </c>
    </row>
    <row r="18" spans="1:13" x14ac:dyDescent="0.2">
      <c r="A18" s="2">
        <v>21</v>
      </c>
      <c r="B18" s="3">
        <v>2</v>
      </c>
      <c r="C18" s="3">
        <v>208</v>
      </c>
      <c r="D18" s="3">
        <v>2727</v>
      </c>
      <c r="E18" s="3" t="s">
        <v>4</v>
      </c>
      <c r="F18" s="3">
        <v>2382</v>
      </c>
      <c r="G18" s="3">
        <v>15624</v>
      </c>
      <c r="H18" s="6">
        <v>1</v>
      </c>
      <c r="I18" s="12">
        <f>+(F18*H18)/66524</f>
        <v>3.5806626180025253E-2</v>
      </c>
      <c r="J18" s="13">
        <f>1/I18</f>
        <v>27.927791771620488</v>
      </c>
      <c r="L18" t="s">
        <v>40</v>
      </c>
      <c r="M18">
        <v>30</v>
      </c>
    </row>
    <row r="19" spans="1:13" x14ac:dyDescent="0.2">
      <c r="A19" s="2">
        <v>21</v>
      </c>
      <c r="B19" s="3">
        <v>2</v>
      </c>
      <c r="C19" s="3">
        <v>208</v>
      </c>
      <c r="D19" s="3">
        <v>2809</v>
      </c>
      <c r="E19" s="3" t="s">
        <v>5</v>
      </c>
      <c r="F19" s="3">
        <v>2234</v>
      </c>
      <c r="G19" s="3">
        <v>42318</v>
      </c>
      <c r="H19" s="6">
        <v>1</v>
      </c>
      <c r="I19" s="12">
        <f>+(F19*H19)/66524</f>
        <v>3.3581865191509831E-2</v>
      </c>
      <c r="J19" s="13">
        <f>1/I19</f>
        <v>29.777976723366159</v>
      </c>
    </row>
    <row r="20" spans="1:13" x14ac:dyDescent="0.2">
      <c r="A20" s="2">
        <v>21</v>
      </c>
      <c r="B20" s="3">
        <v>2</v>
      </c>
      <c r="C20" s="3">
        <v>208</v>
      </c>
      <c r="D20" s="3">
        <v>2895</v>
      </c>
      <c r="E20" s="3" t="s">
        <v>5</v>
      </c>
      <c r="F20" s="3">
        <v>2872</v>
      </c>
      <c r="G20" s="3">
        <v>45190</v>
      </c>
      <c r="H20" s="11">
        <v>1</v>
      </c>
      <c r="I20" s="12">
        <f>+(F20*H20)/66524</f>
        <v>4.3172388912272264E-2</v>
      </c>
      <c r="J20" s="13">
        <f>1/I20</f>
        <v>23.162952646239553</v>
      </c>
    </row>
    <row r="21" spans="1:13" x14ac:dyDescent="0.2">
      <c r="I21" s="15">
        <f>SUM(I2:I20)</f>
        <v>0.84013288437255718</v>
      </c>
      <c r="J21" s="15">
        <f>SUM(J2:J20)</f>
        <v>609.26309145991127</v>
      </c>
      <c r="K2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6F00-A2C0-264D-8C70-486C4766EE89}">
  <dimension ref="A1:H21"/>
  <sheetViews>
    <sheetView workbookViewId="0">
      <selection activeCell="G21" sqref="G21:H21"/>
    </sheetView>
  </sheetViews>
  <sheetFormatPr baseColWidth="10" defaultRowHeight="16" x14ac:dyDescent="0.2"/>
  <cols>
    <col min="6" max="6" width="20" customWidth="1"/>
  </cols>
  <sheetData>
    <row r="1" spans="1:8" x14ac:dyDescent="0.2">
      <c r="A1" s="14" t="s">
        <v>45</v>
      </c>
      <c r="B1" s="14" t="s">
        <v>7</v>
      </c>
      <c r="C1" s="14" t="s">
        <v>46</v>
      </c>
      <c r="D1" s="14" t="s">
        <v>47</v>
      </c>
      <c r="E1" s="14" t="s">
        <v>48</v>
      </c>
      <c r="F1" s="14" t="s">
        <v>49</v>
      </c>
    </row>
    <row r="2" spans="1:8" x14ac:dyDescent="0.2">
      <c r="A2">
        <v>2461</v>
      </c>
      <c r="B2" t="s">
        <v>4</v>
      </c>
      <c r="C2">
        <v>1674</v>
      </c>
      <c r="D2">
        <v>1</v>
      </c>
      <c r="E2">
        <v>2.5163999999999999E-2</v>
      </c>
      <c r="F2">
        <v>39.7395</v>
      </c>
      <c r="G2">
        <v>30</v>
      </c>
      <c r="H2">
        <f>+F2*G2</f>
        <v>1192.1849999999999</v>
      </c>
    </row>
    <row r="3" spans="1:8" x14ac:dyDescent="0.2">
      <c r="A3">
        <v>2463</v>
      </c>
      <c r="B3" t="s">
        <v>4</v>
      </c>
      <c r="C3">
        <v>1694</v>
      </c>
      <c r="D3">
        <v>1</v>
      </c>
      <c r="E3">
        <v>2.5464000000000001E-2</v>
      </c>
      <c r="F3">
        <v>39.270400000000002</v>
      </c>
      <c r="G3">
        <v>30</v>
      </c>
      <c r="H3">
        <f t="shared" ref="H3:H20" si="0">+F3*G3</f>
        <v>1178.1120000000001</v>
      </c>
    </row>
    <row r="4" spans="1:8" x14ac:dyDescent="0.2">
      <c r="A4">
        <v>2465</v>
      </c>
      <c r="B4" t="s">
        <v>4</v>
      </c>
      <c r="C4">
        <v>2185</v>
      </c>
      <c r="D4">
        <v>1</v>
      </c>
      <c r="E4">
        <v>3.2844999999999999E-2</v>
      </c>
      <c r="F4">
        <v>30.445799999999998</v>
      </c>
      <c r="G4">
        <v>30</v>
      </c>
      <c r="H4">
        <f t="shared" si="0"/>
        <v>913.37399999999991</v>
      </c>
    </row>
    <row r="5" spans="1:8" x14ac:dyDescent="0.2">
      <c r="A5">
        <v>2467</v>
      </c>
      <c r="B5" t="s">
        <v>4</v>
      </c>
      <c r="C5">
        <v>1367</v>
      </c>
      <c r="D5">
        <v>1</v>
      </c>
      <c r="E5">
        <v>2.0549000000000001E-2</v>
      </c>
      <c r="F5">
        <v>48.664200000000001</v>
      </c>
      <c r="G5">
        <v>30</v>
      </c>
      <c r="H5">
        <f t="shared" si="0"/>
        <v>1459.9259999999999</v>
      </c>
    </row>
    <row r="6" spans="1:8" x14ac:dyDescent="0.2">
      <c r="A6">
        <v>2727</v>
      </c>
      <c r="B6" t="s">
        <v>4</v>
      </c>
      <c r="C6">
        <v>2382</v>
      </c>
      <c r="D6">
        <v>1</v>
      </c>
      <c r="E6">
        <v>3.5806999999999999E-2</v>
      </c>
      <c r="F6">
        <v>27.927800000000001</v>
      </c>
      <c r="G6">
        <v>30</v>
      </c>
      <c r="H6">
        <f t="shared" si="0"/>
        <v>837.83400000000006</v>
      </c>
    </row>
    <row r="7" spans="1:8" x14ac:dyDescent="0.2">
      <c r="A7">
        <v>2470</v>
      </c>
      <c r="B7" t="s">
        <v>5</v>
      </c>
      <c r="C7">
        <v>2060</v>
      </c>
      <c r="D7">
        <v>1</v>
      </c>
      <c r="E7">
        <v>3.0966E-2</v>
      </c>
      <c r="F7">
        <v>32.293199999999999</v>
      </c>
      <c r="G7">
        <v>30</v>
      </c>
      <c r="H7">
        <f t="shared" si="0"/>
        <v>968.79599999999994</v>
      </c>
    </row>
    <row r="8" spans="1:8" x14ac:dyDescent="0.2">
      <c r="A8">
        <v>2471</v>
      </c>
      <c r="B8" t="s">
        <v>5</v>
      </c>
      <c r="C8">
        <v>2234</v>
      </c>
      <c r="D8">
        <v>1</v>
      </c>
      <c r="E8">
        <v>3.3582000000000001E-2</v>
      </c>
      <c r="F8">
        <v>29.777999999999999</v>
      </c>
      <c r="G8">
        <v>30</v>
      </c>
      <c r="H8">
        <f t="shared" si="0"/>
        <v>893.33999999999992</v>
      </c>
    </row>
    <row r="9" spans="1:8" x14ac:dyDescent="0.2">
      <c r="A9">
        <v>2473</v>
      </c>
      <c r="B9" t="s">
        <v>5</v>
      </c>
      <c r="C9">
        <v>2202</v>
      </c>
      <c r="D9">
        <v>1</v>
      </c>
      <c r="E9">
        <v>3.3100999999999998E-2</v>
      </c>
      <c r="F9">
        <v>30.210699999999999</v>
      </c>
      <c r="G9">
        <v>30</v>
      </c>
      <c r="H9">
        <f t="shared" si="0"/>
        <v>906.32100000000003</v>
      </c>
    </row>
    <row r="10" spans="1:8" x14ac:dyDescent="0.2">
      <c r="A10">
        <v>2474</v>
      </c>
      <c r="B10" t="s">
        <v>5</v>
      </c>
      <c r="C10">
        <v>1836</v>
      </c>
      <c r="D10">
        <v>1</v>
      </c>
      <c r="E10">
        <v>2.7598999999999999E-2</v>
      </c>
      <c r="F10">
        <v>36.2331</v>
      </c>
      <c r="G10">
        <v>30</v>
      </c>
      <c r="H10">
        <f t="shared" si="0"/>
        <v>1086.9929999999999</v>
      </c>
    </row>
    <row r="11" spans="1:8" x14ac:dyDescent="0.2">
      <c r="A11">
        <v>2475</v>
      </c>
      <c r="B11" t="s">
        <v>5</v>
      </c>
      <c r="C11">
        <v>2141</v>
      </c>
      <c r="D11">
        <v>1</v>
      </c>
      <c r="E11">
        <v>3.2183999999999997E-2</v>
      </c>
      <c r="F11">
        <v>31.0715</v>
      </c>
      <c r="G11">
        <v>30</v>
      </c>
      <c r="H11">
        <f t="shared" si="0"/>
        <v>932.14499999999998</v>
      </c>
    </row>
    <row r="12" spans="1:8" x14ac:dyDescent="0.2">
      <c r="A12">
        <v>2478</v>
      </c>
      <c r="B12" t="s">
        <v>5</v>
      </c>
      <c r="C12">
        <v>4152</v>
      </c>
      <c r="D12">
        <v>2</v>
      </c>
      <c r="E12">
        <v>0.12482699999999999</v>
      </c>
      <c r="F12">
        <v>8.0111000000000008</v>
      </c>
      <c r="G12">
        <v>60</v>
      </c>
      <c r="H12">
        <f t="shared" si="0"/>
        <v>480.66600000000005</v>
      </c>
    </row>
    <row r="13" spans="1:8" x14ac:dyDescent="0.2">
      <c r="A13">
        <v>2480</v>
      </c>
      <c r="B13" t="s">
        <v>5</v>
      </c>
      <c r="C13">
        <v>4614</v>
      </c>
      <c r="D13">
        <v>1</v>
      </c>
      <c r="E13">
        <v>6.9358000000000003E-2</v>
      </c>
      <c r="F13">
        <v>14.417899999999999</v>
      </c>
      <c r="G13">
        <v>30</v>
      </c>
      <c r="H13">
        <f t="shared" si="0"/>
        <v>432.53699999999998</v>
      </c>
    </row>
    <row r="14" spans="1:8" x14ac:dyDescent="0.2">
      <c r="A14">
        <v>2482</v>
      </c>
      <c r="B14" t="s">
        <v>5</v>
      </c>
      <c r="C14">
        <v>1953</v>
      </c>
      <c r="D14">
        <v>1</v>
      </c>
      <c r="E14">
        <v>2.9357999999999999E-2</v>
      </c>
      <c r="F14">
        <v>34.0625</v>
      </c>
      <c r="G14">
        <v>30</v>
      </c>
      <c r="H14">
        <f t="shared" si="0"/>
        <v>1021.875</v>
      </c>
    </row>
    <row r="15" spans="1:8" x14ac:dyDescent="0.2">
      <c r="A15">
        <v>2484</v>
      </c>
      <c r="B15" t="s">
        <v>5</v>
      </c>
      <c r="C15">
        <v>4205</v>
      </c>
      <c r="D15">
        <v>2</v>
      </c>
      <c r="E15">
        <v>0.12642100000000001</v>
      </c>
      <c r="F15">
        <v>7.9100999999999999</v>
      </c>
      <c r="G15">
        <v>60</v>
      </c>
      <c r="H15">
        <f t="shared" si="0"/>
        <v>474.60599999999999</v>
      </c>
    </row>
    <row r="16" spans="1:8" x14ac:dyDescent="0.2">
      <c r="A16">
        <v>2485</v>
      </c>
      <c r="B16" t="s">
        <v>5</v>
      </c>
      <c r="C16">
        <v>1718</v>
      </c>
      <c r="D16">
        <v>1</v>
      </c>
      <c r="E16">
        <v>2.5825000000000001E-2</v>
      </c>
      <c r="F16">
        <v>38.721800000000002</v>
      </c>
      <c r="G16">
        <v>30</v>
      </c>
      <c r="H16">
        <f t="shared" si="0"/>
        <v>1161.654</v>
      </c>
    </row>
    <row r="17" spans="1:8" x14ac:dyDescent="0.2">
      <c r="A17">
        <v>2488</v>
      </c>
      <c r="B17" t="s">
        <v>5</v>
      </c>
      <c r="C17">
        <v>700</v>
      </c>
      <c r="D17">
        <v>1</v>
      </c>
      <c r="E17">
        <v>1.0522999999999999E-2</v>
      </c>
      <c r="F17">
        <v>95.034300000000002</v>
      </c>
      <c r="G17">
        <v>30</v>
      </c>
      <c r="H17">
        <f t="shared" si="0"/>
        <v>2851.029</v>
      </c>
    </row>
    <row r="18" spans="1:8" x14ac:dyDescent="0.2">
      <c r="A18">
        <v>2809</v>
      </c>
      <c r="B18" t="s">
        <v>5</v>
      </c>
      <c r="C18">
        <v>2234</v>
      </c>
      <c r="D18">
        <v>1</v>
      </c>
      <c r="E18">
        <v>3.3582000000000001E-2</v>
      </c>
      <c r="F18">
        <v>29.777999999999999</v>
      </c>
      <c r="G18">
        <v>30</v>
      </c>
      <c r="H18">
        <f t="shared" si="0"/>
        <v>893.33999999999992</v>
      </c>
    </row>
    <row r="19" spans="1:8" x14ac:dyDescent="0.2">
      <c r="A19">
        <v>2895</v>
      </c>
      <c r="B19" t="s">
        <v>5</v>
      </c>
      <c r="C19">
        <v>2872</v>
      </c>
      <c r="D19">
        <v>1</v>
      </c>
      <c r="E19">
        <v>4.3172000000000002E-2</v>
      </c>
      <c r="F19">
        <v>23.163</v>
      </c>
      <c r="G19">
        <v>30</v>
      </c>
      <c r="H19">
        <f t="shared" si="0"/>
        <v>694.89</v>
      </c>
    </row>
    <row r="20" spans="1:8" x14ac:dyDescent="0.2">
      <c r="A20">
        <v>2481</v>
      </c>
      <c r="B20" t="s">
        <v>6</v>
      </c>
      <c r="C20">
        <v>5309</v>
      </c>
      <c r="D20">
        <v>1</v>
      </c>
      <c r="E20">
        <v>7.9806000000000002E-2</v>
      </c>
      <c r="F20">
        <v>12.5304</v>
      </c>
      <c r="G20">
        <v>30</v>
      </c>
      <c r="H20">
        <f t="shared" si="0"/>
        <v>375.91200000000003</v>
      </c>
    </row>
    <row r="21" spans="1:8" x14ac:dyDescent="0.2">
      <c r="G21">
        <f>SUM(G2:G20)</f>
        <v>630</v>
      </c>
      <c r="H21">
        <f>SUM(H2:H20)</f>
        <v>18755.535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Lista Nominal</vt:lpstr>
      <vt:lpstr>Estrato Urbano</vt:lpstr>
      <vt:lpstr>Estrato Rural</vt:lpstr>
      <vt:lpstr>Estrato Mixto</vt:lpstr>
      <vt:lpstr>Selección</vt:lpstr>
      <vt:lpstr>Hoja9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2026-01-21T14:50:05Z</dcterms:created>
  <dcterms:modified xsi:type="dcterms:W3CDTF">2026-01-22T02:09:42Z</dcterms:modified>
</cp:coreProperties>
</file>